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excel-diff-fixtures\"/>
    </mc:Choice>
  </mc:AlternateContent>
  <xr:revisionPtr revIDLastSave="0" documentId="8_{56FFF301-A777-40F9-A934-81A5C85A17E3}" xr6:coauthVersionLast="47" xr6:coauthVersionMax="47" xr10:uidLastSave="{00000000-0000-0000-0000-000000000000}"/>
  <bookViews>
    <workbookView xWindow="600" yWindow="-120" windowWidth="15720" windowHeight="18180" activeTab="1" xr2:uid="{8195E1A4-D6AC-44FD-84A0-36D504FB511D}"/>
  </bookViews>
  <sheets>
    <sheet name="売上" sheetId="1" r:id="rId1"/>
    <sheet name="備考" sheetId="2" r:id="rId2"/>
  </sheets>
  <definedNames>
    <definedName name="税率">備考!$B$1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D4" i="1"/>
  <c r="J2" i="1" a="1"/>
  <c r="J2" i="1" s="1"/>
  <c r="I21" i="1"/>
  <c r="I20" i="1"/>
  <c r="I19" i="1"/>
  <c r="I18" i="1"/>
  <c r="I17" i="1"/>
  <c r="I16" i="1"/>
  <c r="I15" i="1"/>
  <c r="I14" i="1"/>
  <c r="I13" i="1"/>
  <c r="I12" i="1"/>
  <c r="I11" i="1"/>
  <c r="I9" i="1"/>
  <c r="I8" i="1"/>
  <c r="I7" i="1"/>
  <c r="I6" i="1"/>
  <c r="I5" i="1"/>
  <c r="I4" i="1"/>
  <c r="I3" i="1"/>
  <c r="G2" i="1"/>
  <c r="B5" i="1"/>
  <c r="D3" i="1"/>
  <c r="D2" i="1"/>
  <c r="I10" i="1" l="1"/>
  <c r="D5" i="1"/>
  <c r="J3" i="1"/>
</calcChain>
</file>

<file path=xl/sharedStrings.xml><?xml version="1.0" encoding="utf-8"?>
<sst xmlns="http://schemas.openxmlformats.org/spreadsheetml/2006/main" count="19" uniqueCount="18">
  <si>
    <t>メモ</t>
  </si>
  <si>
    <t>品目</t>
  </si>
  <si>
    <t>数量</t>
  </si>
  <si>
    <t>単価</t>
  </si>
  <si>
    <t>金額</t>
  </si>
  <si>
    <t>りんご</t>
  </si>
  <si>
    <t>みかん</t>
  </si>
  <si>
    <t>ぶどう</t>
  </si>
  <si>
    <t>合計</t>
  </si>
  <si>
    <r>
      <t>重要</t>
    </r>
    <r>
      <rPr>
        <sz val="11"/>
        <color theme="1"/>
        <rFont val="游ゴシック"/>
        <family val="2"/>
        <charset val="128"/>
        <scheme val="minor"/>
      </rPr>
      <t>な点</t>
    </r>
  </si>
  <si>
    <t>売上</t>
    <rPh sb="0" eb="2">
      <t>ウリアゲ</t>
    </rPh>
    <phoneticPr fontId="2"/>
  </si>
  <si>
    <t>結合</t>
  </si>
  <si>
    <t>列のブロック 2</t>
  </si>
  <si>
    <t>40 行目</t>
  </si>
  <si>
    <t>改行
なし	タブ</t>
    <phoneticPr fontId="2"/>
  </si>
  <si>
    <t>もも</t>
  </si>
  <si>
    <t>末尾</t>
  </si>
  <si>
    <t>新しい文字列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</si>
</sst>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&quot;円&quot;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3" borderId="0" xfId="0" applyFont="1" applyFill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0" xfId="1">
      <alignment vertical="center"/>
    </xf>
    <xf numFmtId="0" fontId="0" fillId="4" borderId="0" xfId="0" applyFill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0" fillId="6" borderId="0" xfId="0" applyFill="1">
      <alignment vertical="center"/>
    </xf>
  </cellXfs>
  <cellStyles count="2"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FC5C7-9BDA-4655-A9BD-BAEA50E34577}">
  <dimension ref="A1:AMK50"/>
  <sheetViews>
    <sheetView workbookViewId="0">
      <selection activeCell="A4" sqref="A4"/>
    </sheetView>
  </sheetViews>
  <sheetFormatPr defaultRowHeight="18.75" x14ac:dyDescent="0.4"/>
  <cols>
    <col min="8" max="8" width="16.875" bestFit="1" customWidth="1"/>
  </cols>
  <sheetData>
    <row r="1" spans="1:13 1025:1025" x14ac:dyDescent="0.4">
      <c r="A1" s="14" t="s">
        <v>1</v>
      </c>
      <c r="B1" s="7" t="s">
        <v>2</v>
      </c>
      <c r="C1" s="7" t="s">
        <v>3</v>
      </c>
      <c r="D1" s="7" t="s">
        <v>4</v>
      </c>
      <c r="E1" s="7" t="s">
        <v>0</v>
      </c>
      <c r="K1" s="12" t="s">
        <v>11</v>
      </c>
      <c r="L1" s="12"/>
      <c r="AMK1" t="s">
        <v>12</v>
      </c>
    </row>
    <row r="2" spans="1:13 1025:1025" x14ac:dyDescent="0.4">
      <c r="A2" t="s">
        <v>5</v>
      </c>
      <c r="B2" s="13">
        <v>12</v>
      </c>
      <c r="C2" s="8">
        <v>120</v>
      </c>
      <c r="D2">
        <f>B2*C2</f>
        <v>1440</v>
      </c>
      <c r="E2" s="1" t="s">
        <v>9</v>
      </c>
      <c r="F2" t="b">
        <v>1</v>
      </c>
      <c r="G2" t="e">
        <f>NA()</f>
        <v>#N/A</v>
      </c>
      <c r="H2" s="3">
        <v>46317</v>
      </c>
      <c r="I2" t="str">
        <f>IF(D2&gt;1000,"とても高い","安い")</f>
        <v>とても高い</v>
      </c>
      <c r="J2">
        <f t="array" ref="J2:J3">B2:B3*C2:C3</f>
        <v>1440</v>
      </c>
      <c r="M2" s="11"/>
    </row>
    <row r="3" spans="1:13 1025:1025" x14ac:dyDescent="0.4">
      <c r="A3" t="s">
        <v>6</v>
      </c>
      <c r="B3">
        <v>5</v>
      </c>
      <c r="C3" s="8">
        <v>90</v>
      </c>
      <c r="D3">
        <f>B3*C3</f>
        <v>450</v>
      </c>
      <c r="E3" t="s">
        <v>10</v>
      </c>
      <c r="G3" t="e">
        <v>#DIV/0!</v>
      </c>
      <c r="H3" s="4">
        <v>0.57291666666666663</v>
      </c>
      <c r="I3">
        <f>ROUND(C3*1.08,0)</f>
        <v>97</v>
      </c>
      <c r="J3">
        <v>450</v>
      </c>
      <c r="M3" s="15"/>
      <c r="AMK3">
        <v>7</v>
      </c>
    </row>
    <row r="4" spans="1:13 1025:1025" ht="37.5" x14ac:dyDescent="0.4">
      <c r="A4" s="10" t="s">
        <v>7</v>
      </c>
      <c r="B4">
        <v>2</v>
      </c>
      <c r="C4" s="8">
        <v>450</v>
      </c>
      <c r="D4">
        <f>B4*C4*2</f>
        <v>1800</v>
      </c>
      <c r="E4" s="2" t="s">
        <v>14</v>
      </c>
      <c r="H4" s="5">
        <v>46316.75</v>
      </c>
      <c r="I4">
        <f>VLOOKUP("みかん",A2:C4,3,FALSE)</f>
        <v>90</v>
      </c>
    </row>
    <row r="5" spans="1:13 1025:1025" ht="19.5" thickBot="1" x14ac:dyDescent="0.45">
      <c r="A5" t="s">
        <v>8</v>
      </c>
      <c r="B5">
        <f>SUM(B2:B4)</f>
        <v>19</v>
      </c>
      <c r="D5" s="9">
        <f>SUM(D2:D4)</f>
        <v>3690</v>
      </c>
      <c r="E5" t="s">
        <v>17</v>
      </c>
      <c r="H5" s="6">
        <v>0.125</v>
      </c>
      <c r="I5" t="str">
        <f>TEXT(H2,"yyyy年m月d日")</f>
        <v>2026年10月22日</v>
      </c>
    </row>
    <row r="6" spans="1:13 1025:1025" ht="19.5" thickTop="1" x14ac:dyDescent="0.4">
      <c r="A6" t="s">
        <v>15</v>
      </c>
      <c r="I6" t="str">
        <f>"a"&amp;"b"&amp;1</f>
        <v>ab1</v>
      </c>
    </row>
    <row r="7" spans="1:13 1025:1025" x14ac:dyDescent="0.4">
      <c r="I7">
        <f>-B2+B3^2/4</f>
        <v>-5.75</v>
      </c>
    </row>
    <row r="8" spans="1:13 1025:1025" x14ac:dyDescent="0.4">
      <c r="I8" t="b">
        <f>B2&gt;=B3</f>
        <v>1</v>
      </c>
    </row>
    <row r="9" spans="1:13 1025:1025" x14ac:dyDescent="0.4">
      <c r="I9">
        <f>備考!B2*2</f>
        <v>40</v>
      </c>
    </row>
    <row r="10" spans="1:13 1025:1025" x14ac:dyDescent="0.4">
      <c r="I10">
        <f>税率*D2</f>
        <v>144</v>
      </c>
    </row>
    <row r="11" spans="1:13 1025:1025" x14ac:dyDescent="0.4">
      <c r="I11">
        <f>SUM(備考!B1:B3)</f>
        <v>23.1</v>
      </c>
    </row>
    <row r="12" spans="1:13 1025:1025" x14ac:dyDescent="0.4">
      <c r="I12">
        <f>COUNTIF(B2:B4,"&gt;3")</f>
        <v>2</v>
      </c>
    </row>
    <row r="13" spans="1:13 1025:1025" x14ac:dyDescent="0.4">
      <c r="I13" t="str">
        <f>IFERROR(1/0,"ゼロ")</f>
        <v>ゼロ</v>
      </c>
    </row>
    <row r="14" spans="1:13 1025:1025" x14ac:dyDescent="0.4">
      <c r="I14">
        <f>AVERAGE(B2:B4)%</f>
        <v>6.3333333333333325E-2</v>
      </c>
    </row>
    <row r="15" spans="1:13 1025:1025" x14ac:dyDescent="0.4">
      <c r="I15">
        <f>$B$2+B$3+$C4</f>
        <v>467</v>
      </c>
    </row>
    <row r="16" spans="1:13 1025:1025" x14ac:dyDescent="0.4">
      <c r="I16">
        <f>SUM(B2:B4,C2:C4,1)</f>
        <v>680</v>
      </c>
    </row>
    <row r="17" spans="9:9" x14ac:dyDescent="0.4">
      <c r="I17" t="b">
        <f>TRUE</f>
        <v>1</v>
      </c>
    </row>
    <row r="18" spans="9:9" x14ac:dyDescent="0.4">
      <c r="I18" t="e">
        <f>#N/A</f>
        <v>#N/A</v>
      </c>
    </row>
    <row r="19" spans="9:9" x14ac:dyDescent="0.4">
      <c r="I19">
        <f>MAX({1,2;3,4})</f>
        <v>4</v>
      </c>
    </row>
    <row r="20" spans="9:9" x14ac:dyDescent="0.4">
      <c r="I20" t="str">
        <f>CONCATENATE(A2,"・",A3)</f>
        <v>りんご・みかん</v>
      </c>
    </row>
    <row r="21" spans="9:9" x14ac:dyDescent="0.4">
      <c r="I21">
        <f>(B2+B3)*(C2-C3)</f>
        <v>510</v>
      </c>
    </row>
    <row r="40" spans="1:1" x14ac:dyDescent="0.4">
      <c r="A40" t="s">
        <v>13</v>
      </c>
    </row>
    <row r="50" spans="1:1" x14ac:dyDescent="0.4">
      <c r="A50" t="s">
        <v>16</v>
      </c>
    </row>
  </sheetData>
  <mergeCells count="1">
    <mergeCell ref="K1:L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AC32-4A3D-43D4-974E-2EF192185ABA}">
  <dimension ref="A1:B3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>
        <v>0.1</v>
      </c>
    </row>
    <row r="2" spans="1:2" x14ac:dyDescent="0.4">
      <c r="B2">
        <v>20</v>
      </c>
    </row>
    <row r="3" spans="1:2" x14ac:dyDescent="0.4">
      <c r="B3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売上</vt:lpstr>
      <vt:lpstr>備考</vt:lpstr>
      <vt:lpstr>税率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